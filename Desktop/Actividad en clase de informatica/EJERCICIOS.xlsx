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esktop\Actividad en clase de informatica\"/>
    </mc:Choice>
  </mc:AlternateContent>
  <xr:revisionPtr revIDLastSave="0" documentId="13_ncr:1_{F9EC0DD2-AEF2-4B8A-B3ED-7B8AA8CF3407}" xr6:coauthVersionLast="47" xr6:coauthVersionMax="47" xr10:uidLastSave="{00000000-0000-0000-0000-000000000000}"/>
  <bookViews>
    <workbookView xWindow="-110" yWindow="-110" windowWidth="19420" windowHeight="10300" firstSheet="4" activeTab="7" xr2:uid="{53900F45-3A98-4C92-A951-168CBF22A7E1}"/>
  </bookViews>
  <sheets>
    <sheet name="Hora extra noctu" sheetId="1" r:id="rId1"/>
    <sheet name="Hora Ordinaria" sheetId="2" r:id="rId2"/>
    <sheet name="hora nocturna " sheetId="3" r:id="rId3"/>
    <sheet name="RECARGO NOCTURNO" sheetId="4" r:id="rId4"/>
    <sheet name="Hora extra nocturna" sheetId="5" r:id="rId5"/>
    <sheet name="Recargo Nocturno 1" sheetId="6" r:id="rId6"/>
    <sheet name="HORA DIURNA" sheetId="7" r:id="rId7"/>
    <sheet name="Prima de servicio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8" l="1"/>
  <c r="C6" i="8"/>
  <c r="C11" i="6"/>
  <c r="D11" i="6" s="1"/>
  <c r="F11" i="6" s="1"/>
  <c r="G11" i="6" s="1"/>
  <c r="D7" i="6"/>
  <c r="F7" i="6" s="1"/>
  <c r="G7" i="6" s="1"/>
  <c r="C7" i="6"/>
  <c r="C12" i="7"/>
  <c r="E12" i="7" s="1"/>
  <c r="F12" i="7" s="1"/>
  <c r="C8" i="7"/>
  <c r="E8" i="7" s="1"/>
  <c r="F8" i="7" s="1"/>
  <c r="C4" i="7"/>
  <c r="E4" i="7" s="1"/>
  <c r="F4" i="7" s="1"/>
  <c r="G4" i="6"/>
  <c r="F4" i="6"/>
  <c r="D4" i="6"/>
  <c r="C4" i="6"/>
  <c r="C14" i="5"/>
  <c r="D14" i="5" s="1"/>
  <c r="F14" i="5" s="1"/>
  <c r="C9" i="5"/>
  <c r="D9" i="5" s="1"/>
  <c r="F9" i="5" s="1"/>
  <c r="D4" i="5"/>
  <c r="F4" i="5"/>
  <c r="C4" i="5"/>
  <c r="C17" i="4"/>
  <c r="E17" i="4" s="1"/>
  <c r="C12" i="4"/>
  <c r="E12" i="4" s="1"/>
  <c r="C7" i="4"/>
  <c r="E7" i="4" s="1"/>
  <c r="D12" i="3"/>
  <c r="E12" i="3" s="1"/>
  <c r="F12" i="3" s="1"/>
  <c r="D8" i="3"/>
  <c r="E8" i="3" s="1"/>
  <c r="F8" i="3" s="1"/>
  <c r="F4" i="3"/>
  <c r="E4" i="3"/>
  <c r="D4" i="3"/>
  <c r="C17" i="2"/>
  <c r="D17" i="2" s="1"/>
  <c r="F17" i="2" s="1"/>
  <c r="G17" i="2" s="1"/>
  <c r="C10" i="1"/>
  <c r="D10" i="1" s="1"/>
  <c r="F10" i="1" s="1"/>
  <c r="G10" i="1" s="1"/>
  <c r="C16" i="1"/>
  <c r="D16" i="1" s="1"/>
  <c r="F16" i="1" s="1"/>
  <c r="G16" i="1" s="1"/>
  <c r="G5" i="1"/>
  <c r="F5" i="1"/>
  <c r="D5" i="1"/>
  <c r="C5" i="1"/>
  <c r="C11" i="2"/>
  <c r="D11" i="2" s="1"/>
  <c r="F11" i="2" s="1"/>
  <c r="G11" i="2" s="1"/>
  <c r="C5" i="2"/>
  <c r="D5" i="2" s="1"/>
  <c r="F5" i="2" s="1"/>
  <c r="G5" i="2" s="1"/>
</calcChain>
</file>

<file path=xl/sharedStrings.xml><?xml version="1.0" encoding="utf-8"?>
<sst xmlns="http://schemas.openxmlformats.org/spreadsheetml/2006/main" count="115" uniqueCount="32">
  <si>
    <t>HEN</t>
  </si>
  <si>
    <t>HTM</t>
  </si>
  <si>
    <t>SMM</t>
  </si>
  <si>
    <t>HS EXTRAS</t>
  </si>
  <si>
    <t>RESULTADO</t>
  </si>
  <si>
    <t>TOTAL A PAGAR</t>
  </si>
  <si>
    <t>SBM</t>
  </si>
  <si>
    <t xml:space="preserve">#Hs Extras </t>
  </si>
  <si>
    <t>HORAS A PG</t>
  </si>
  <si>
    <t>HED= SBM*1,25/220</t>
  </si>
  <si>
    <t>RECARGO DEL 25%</t>
  </si>
  <si>
    <t>HORAS TRABAJADAS AL MES</t>
  </si>
  <si>
    <t>salario basico mensual</t>
  </si>
  <si>
    <t>hora extra trabajdas</t>
  </si>
  <si>
    <t>valor hora extra</t>
  </si>
  <si>
    <t>horas extras a pagar</t>
  </si>
  <si>
    <t>total a pagar</t>
  </si>
  <si>
    <t xml:space="preserve">VALOR2026) HORAS DE TRABAJO EN COLOMBIA(aplica hasta el 26 de julio de </t>
  </si>
  <si>
    <t>recargo nocturno dominical o festivo</t>
  </si>
  <si>
    <t>hs trabajadas</t>
  </si>
  <si>
    <t>total</t>
  </si>
  <si>
    <t>FRM Y EJM</t>
  </si>
  <si>
    <t>HRS EXTRAS</t>
  </si>
  <si>
    <t>RSTD</t>
  </si>
  <si>
    <t>SMB</t>
  </si>
  <si>
    <t>VLR. AD</t>
  </si>
  <si>
    <t>TLT A PG</t>
  </si>
  <si>
    <t>HS AUSENTADO</t>
  </si>
  <si>
    <t>TOTAL A DESCONTAR</t>
  </si>
  <si>
    <t>Salario Base</t>
  </si>
  <si>
    <t>Dias Trabajados</t>
  </si>
  <si>
    <t>Prima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</si>
</sst>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9" formatCode="_-[$$-240A]\ * #,##0_-;\-[$$-240A]\ * #,##0_-;_-[$$-240A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3" fontId="0" fillId="0" borderId="1" xfId="0" applyNumberFormat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0" fillId="3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164" fontId="0" fillId="3" borderId="1" xfId="1" applyNumberFormat="1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1" fontId="0" fillId="6" borderId="1" xfId="0" applyNumberForma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518C-267D-4084-9684-F81BDCF57D49}">
  <dimension ref="B3:G16"/>
  <sheetViews>
    <sheetView workbookViewId="0">
      <selection activeCell="I14" sqref="I14"/>
    </sheetView>
  </sheetViews>
  <sheetFormatPr baseColWidth="10" defaultRowHeight="14.5" x14ac:dyDescent="0.35"/>
  <cols>
    <col min="2" max="3" width="12.6328125" bestFit="1" customWidth="1"/>
    <col min="7" max="7" width="14.08984375" bestFit="1" customWidth="1"/>
  </cols>
  <sheetData>
    <row r="3" spans="2:7" x14ac:dyDescent="0.35">
      <c r="C3" s="1" t="s">
        <v>0</v>
      </c>
      <c r="D3" s="1" t="s">
        <v>1</v>
      </c>
    </row>
    <row r="4" spans="2:7" x14ac:dyDescent="0.35">
      <c r="B4" s="1" t="s">
        <v>2</v>
      </c>
      <c r="C4" s="1">
        <v>2.0499999999999998</v>
      </c>
      <c r="D4" s="1">
        <v>220</v>
      </c>
      <c r="E4" s="1" t="s">
        <v>3</v>
      </c>
      <c r="F4" s="1" t="s">
        <v>4</v>
      </c>
      <c r="G4" s="1" t="s">
        <v>5</v>
      </c>
    </row>
    <row r="5" spans="2:7" x14ac:dyDescent="0.35">
      <c r="B5" s="5">
        <v>1750905</v>
      </c>
      <c r="C5" s="5">
        <f>B5*C4</f>
        <v>3589355.2499999995</v>
      </c>
      <c r="D5" s="6">
        <f>C5/D4</f>
        <v>16315.251136363635</v>
      </c>
      <c r="E5" s="2">
        <v>4</v>
      </c>
      <c r="F5" s="6">
        <f>D5*E5</f>
        <v>65261.00454545454</v>
      </c>
      <c r="G5" s="6">
        <f>F5+B5</f>
        <v>1816166.0045454546</v>
      </c>
    </row>
    <row r="8" spans="2:7" x14ac:dyDescent="0.35">
      <c r="C8" s="1" t="s">
        <v>0</v>
      </c>
      <c r="D8" s="1" t="s">
        <v>1</v>
      </c>
    </row>
    <row r="9" spans="2:7" x14ac:dyDescent="0.35">
      <c r="B9" s="1" t="s">
        <v>2</v>
      </c>
      <c r="C9" s="1">
        <v>2.0499999999999998</v>
      </c>
      <c r="D9" s="1">
        <v>220</v>
      </c>
      <c r="E9" s="1" t="s">
        <v>3</v>
      </c>
      <c r="F9" s="1" t="s">
        <v>4</v>
      </c>
      <c r="G9" s="1" t="s">
        <v>5</v>
      </c>
    </row>
    <row r="10" spans="2:7" x14ac:dyDescent="0.35">
      <c r="B10" s="5">
        <v>1800000</v>
      </c>
      <c r="C10" s="5">
        <f>B10*C9</f>
        <v>3689999.9999999995</v>
      </c>
      <c r="D10" s="6">
        <f>C10/D9</f>
        <v>16772.727272727272</v>
      </c>
      <c r="E10" s="2">
        <v>5</v>
      </c>
      <c r="F10" s="6">
        <f>D10*E10</f>
        <v>83863.636363636353</v>
      </c>
      <c r="G10" s="6">
        <f>F10+B10</f>
        <v>1883863.6363636362</v>
      </c>
    </row>
    <row r="14" spans="2:7" x14ac:dyDescent="0.35">
      <c r="C14" s="1" t="s">
        <v>0</v>
      </c>
      <c r="D14" s="1" t="s">
        <v>1</v>
      </c>
    </row>
    <row r="15" spans="2:7" x14ac:dyDescent="0.35">
      <c r="B15" s="1" t="s">
        <v>2</v>
      </c>
      <c r="C15" s="1">
        <v>2.0499999999999998</v>
      </c>
      <c r="D15" s="1">
        <v>220</v>
      </c>
      <c r="E15" s="1" t="s">
        <v>3</v>
      </c>
      <c r="F15" s="1" t="s">
        <v>4</v>
      </c>
      <c r="G15" s="1" t="s">
        <v>5</v>
      </c>
    </row>
    <row r="16" spans="2:7" x14ac:dyDescent="0.35">
      <c r="B16" s="5">
        <v>2000000</v>
      </c>
      <c r="C16" s="5">
        <f>B16*C15</f>
        <v>4099999.9999999995</v>
      </c>
      <c r="D16" s="6">
        <f>C16/D15</f>
        <v>18636.363636363636</v>
      </c>
      <c r="E16" s="2">
        <v>3</v>
      </c>
      <c r="F16" s="6">
        <f>D16*E16</f>
        <v>55909.090909090912</v>
      </c>
      <c r="G16" s="6">
        <f>F16+B16</f>
        <v>2055909.0909090908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E7EE-C42A-4FEB-9232-843560924DBE}">
  <dimension ref="B2:G17"/>
  <sheetViews>
    <sheetView workbookViewId="0">
      <selection activeCell="D16" sqref="D16"/>
    </sheetView>
  </sheetViews>
  <sheetFormatPr baseColWidth="10" defaultRowHeight="14.5" x14ac:dyDescent="0.35"/>
  <cols>
    <col min="3" max="3" width="18.6328125" customWidth="1"/>
    <col min="4" max="4" width="25" customWidth="1"/>
    <col min="6" max="6" width="12.453125" customWidth="1"/>
    <col min="7" max="7" width="14.6328125" customWidth="1"/>
  </cols>
  <sheetData>
    <row r="2" spans="2:7" x14ac:dyDescent="0.35">
      <c r="C2" s="20" t="s">
        <v>9</v>
      </c>
      <c r="D2" s="20"/>
    </row>
    <row r="3" spans="2:7" x14ac:dyDescent="0.35">
      <c r="C3" s="3" t="s">
        <v>10</v>
      </c>
      <c r="D3" s="3" t="s">
        <v>11</v>
      </c>
    </row>
    <row r="4" spans="2:7" x14ac:dyDescent="0.35">
      <c r="B4" s="3" t="s">
        <v>6</v>
      </c>
      <c r="C4" s="3">
        <v>1.25</v>
      </c>
      <c r="D4" s="3">
        <v>220</v>
      </c>
      <c r="E4" s="3" t="s">
        <v>7</v>
      </c>
      <c r="F4" s="3" t="s">
        <v>8</v>
      </c>
      <c r="G4" s="3" t="s">
        <v>5</v>
      </c>
    </row>
    <row r="5" spans="2:7" x14ac:dyDescent="0.35">
      <c r="B5" s="4">
        <v>2500000</v>
      </c>
      <c r="C5" s="5">
        <f>B5*C4</f>
        <v>3125000</v>
      </c>
      <c r="D5" s="6">
        <f>C5/D4</f>
        <v>14204.545454545454</v>
      </c>
      <c r="E5" s="2">
        <v>3</v>
      </c>
      <c r="F5" s="6">
        <f>D5*E5</f>
        <v>42613.63636363636</v>
      </c>
      <c r="G5" s="6">
        <f>F5+B5</f>
        <v>2542613.6363636362</v>
      </c>
    </row>
    <row r="8" spans="2:7" x14ac:dyDescent="0.35">
      <c r="C8" s="20" t="s">
        <v>9</v>
      </c>
      <c r="D8" s="20"/>
    </row>
    <row r="9" spans="2:7" x14ac:dyDescent="0.35">
      <c r="C9" s="3" t="s">
        <v>10</v>
      </c>
      <c r="D9" s="3" t="s">
        <v>11</v>
      </c>
    </row>
    <row r="10" spans="2:7" x14ac:dyDescent="0.35">
      <c r="B10" s="3" t="s">
        <v>6</v>
      </c>
      <c r="C10" s="3">
        <v>1.25</v>
      </c>
      <c r="D10" s="3">
        <v>220</v>
      </c>
      <c r="E10" s="3" t="s">
        <v>7</v>
      </c>
      <c r="F10" s="3" t="s">
        <v>8</v>
      </c>
      <c r="G10" s="3" t="s">
        <v>5</v>
      </c>
    </row>
    <row r="11" spans="2:7" x14ac:dyDescent="0.35">
      <c r="B11" s="4">
        <v>1250500</v>
      </c>
      <c r="C11" s="5">
        <f>B11*C10</f>
        <v>1563125</v>
      </c>
      <c r="D11" s="6">
        <f>C11/D10</f>
        <v>7105.113636363636</v>
      </c>
      <c r="E11" s="2">
        <v>5</v>
      </c>
      <c r="F11" s="6">
        <f>D11*E11</f>
        <v>35525.568181818177</v>
      </c>
      <c r="G11" s="6">
        <f>F11+B11</f>
        <v>1286025.5681818181</v>
      </c>
    </row>
    <row r="14" spans="2:7" x14ac:dyDescent="0.35">
      <c r="C14" s="20" t="s">
        <v>9</v>
      </c>
      <c r="D14" s="20"/>
    </row>
    <row r="15" spans="2:7" x14ac:dyDescent="0.35">
      <c r="C15" s="3" t="s">
        <v>10</v>
      </c>
      <c r="D15" s="3" t="s">
        <v>11</v>
      </c>
    </row>
    <row r="16" spans="2:7" x14ac:dyDescent="0.35">
      <c r="B16" s="3" t="s">
        <v>6</v>
      </c>
      <c r="C16" s="3">
        <v>1.25</v>
      </c>
      <c r="D16" s="3">
        <v>220</v>
      </c>
      <c r="E16" s="3" t="s">
        <v>7</v>
      </c>
      <c r="F16" s="3" t="s">
        <v>8</v>
      </c>
      <c r="G16" s="3" t="s">
        <v>5</v>
      </c>
    </row>
    <row r="17" spans="2:7" x14ac:dyDescent="0.35">
      <c r="B17" s="4">
        <v>4000000</v>
      </c>
      <c r="C17" s="5">
        <f>B17*C16</f>
        <v>5000000</v>
      </c>
      <c r="D17" s="6">
        <f>C17/D16</f>
        <v>22727.272727272728</v>
      </c>
      <c r="E17" s="2">
        <v>8</v>
      </c>
      <c r="F17" s="6">
        <f>D17*E17</f>
        <v>181818.18181818182</v>
      </c>
      <c r="G17" s="6">
        <f>F17+B17</f>
        <v>4181818.1818181816</v>
      </c>
    </row>
  </sheetData>
  <mergeCells count="3">
    <mergeCell ref="C2:D2"/>
    <mergeCell ref="C8:D8"/>
    <mergeCell ref="C14:D1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C595-D6ED-41A2-9D53-E575C2787775}">
  <dimension ref="B3:F12"/>
  <sheetViews>
    <sheetView workbookViewId="0">
      <selection activeCell="E12" sqref="E12"/>
    </sheetView>
  </sheetViews>
  <sheetFormatPr baseColWidth="10" defaultRowHeight="14.5" x14ac:dyDescent="0.35"/>
  <cols>
    <col min="2" max="2" width="19.7265625" bestFit="1" customWidth="1"/>
    <col min="3" max="3" width="17.81640625" bestFit="1" customWidth="1"/>
    <col min="4" max="4" width="14.08984375" bestFit="1" customWidth="1"/>
    <col min="5" max="5" width="17.81640625" bestFit="1" customWidth="1"/>
  </cols>
  <sheetData>
    <row r="3" spans="2:6" x14ac:dyDescent="0.35"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</row>
    <row r="4" spans="2:6" x14ac:dyDescent="0.35">
      <c r="B4" s="8">
        <v>2500000</v>
      </c>
      <c r="C4" s="9">
        <v>2</v>
      </c>
      <c r="D4" s="10">
        <f>(B4*2.55)/220</f>
        <v>28977.272727272728</v>
      </c>
      <c r="E4" s="11">
        <f>C4*D4</f>
        <v>57954.545454545456</v>
      </c>
      <c r="F4" s="11">
        <f>E4+B4</f>
        <v>2557954.5454545454</v>
      </c>
    </row>
    <row r="5" spans="2:6" x14ac:dyDescent="0.35">
      <c r="B5" s="12"/>
      <c r="C5" s="12"/>
      <c r="D5" s="12"/>
      <c r="E5" s="12"/>
      <c r="F5" s="12"/>
    </row>
    <row r="6" spans="2:6" x14ac:dyDescent="0.35">
      <c r="B6" s="12"/>
      <c r="C6" s="12"/>
      <c r="D6" s="12"/>
      <c r="E6" s="12"/>
      <c r="F6" s="12"/>
    </row>
    <row r="7" spans="2:6" x14ac:dyDescent="0.35">
      <c r="B7" s="7" t="s">
        <v>12</v>
      </c>
      <c r="C7" s="7" t="s">
        <v>13</v>
      </c>
      <c r="D7" s="7" t="s">
        <v>14</v>
      </c>
      <c r="E7" s="7" t="s">
        <v>15</v>
      </c>
      <c r="F7" s="7" t="s">
        <v>16</v>
      </c>
    </row>
    <row r="8" spans="2:6" x14ac:dyDescent="0.35">
      <c r="B8" s="8">
        <v>3200000</v>
      </c>
      <c r="C8" s="9">
        <v>5</v>
      </c>
      <c r="D8" s="10">
        <f>(B8*2.55)/220</f>
        <v>37090.909090909088</v>
      </c>
      <c r="E8" s="11">
        <f>C8*D8</f>
        <v>185454.54545454544</v>
      </c>
      <c r="F8" s="11">
        <f>E8+B8</f>
        <v>3385454.5454545454</v>
      </c>
    </row>
    <row r="9" spans="2:6" x14ac:dyDescent="0.35">
      <c r="B9" s="12"/>
      <c r="C9" s="12"/>
      <c r="D9" s="12"/>
      <c r="E9" s="12"/>
      <c r="F9" s="12"/>
    </row>
    <row r="10" spans="2:6" x14ac:dyDescent="0.35">
      <c r="B10" s="12"/>
      <c r="C10" s="12"/>
      <c r="D10" s="12"/>
      <c r="E10" s="12"/>
      <c r="F10" s="12"/>
    </row>
    <row r="11" spans="2:6" x14ac:dyDescent="0.35"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</row>
    <row r="12" spans="2:6" x14ac:dyDescent="0.35">
      <c r="B12" s="8">
        <v>1800000</v>
      </c>
      <c r="C12" s="9">
        <v>10</v>
      </c>
      <c r="D12" s="10">
        <f>(B12*2.55)/220</f>
        <v>20863.636363636364</v>
      </c>
      <c r="E12" s="11">
        <f>C12*D12</f>
        <v>208636.36363636365</v>
      </c>
      <c r="F12" s="11">
        <f>E12+B12</f>
        <v>2008636.3636363638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D5A8-13FD-4624-BB04-8775575CD447}">
  <dimension ref="B3:E17"/>
  <sheetViews>
    <sheetView workbookViewId="0">
      <selection activeCell="E17" sqref="E17"/>
    </sheetView>
  </sheetViews>
  <sheetFormatPr baseColWidth="10" defaultRowHeight="14.5" x14ac:dyDescent="0.35"/>
  <cols>
    <col min="2" max="2" width="65.6328125" bestFit="1" customWidth="1"/>
    <col min="4" max="4" width="12" bestFit="1" customWidth="1"/>
    <col min="5" max="5" width="11.08984375" bestFit="1" customWidth="1"/>
  </cols>
  <sheetData>
    <row r="3" spans="2:5" x14ac:dyDescent="0.35">
      <c r="B3" s="2" t="s">
        <v>17</v>
      </c>
    </row>
    <row r="5" spans="2:5" x14ac:dyDescent="0.35">
      <c r="B5" s="2" t="s">
        <v>12</v>
      </c>
      <c r="C5" s="4">
        <v>2500000</v>
      </c>
    </row>
    <row r="6" spans="2:5" x14ac:dyDescent="0.35">
      <c r="D6" s="2" t="s">
        <v>19</v>
      </c>
      <c r="E6" s="2" t="s">
        <v>20</v>
      </c>
    </row>
    <row r="7" spans="2:5" x14ac:dyDescent="0.35">
      <c r="B7" s="13" t="s">
        <v>18</v>
      </c>
      <c r="C7" s="14">
        <f>(C5*1.15)/220</f>
        <v>13068.181818181818</v>
      </c>
      <c r="D7" s="13">
        <v>10</v>
      </c>
      <c r="E7" s="14">
        <f>C7*D7</f>
        <v>130681.81818181818</v>
      </c>
    </row>
    <row r="10" spans="2:5" x14ac:dyDescent="0.35">
      <c r="B10" s="2" t="s">
        <v>12</v>
      </c>
      <c r="C10" s="4">
        <v>2400000</v>
      </c>
    </row>
    <row r="11" spans="2:5" x14ac:dyDescent="0.35">
      <c r="D11" s="2" t="s">
        <v>19</v>
      </c>
      <c r="E11" s="2" t="s">
        <v>20</v>
      </c>
    </row>
    <row r="12" spans="2:5" x14ac:dyDescent="0.35">
      <c r="B12" s="13" t="s">
        <v>18</v>
      </c>
      <c r="C12" s="14">
        <f>(C10*1.15)/220</f>
        <v>12545.454545454546</v>
      </c>
      <c r="D12" s="13">
        <v>7</v>
      </c>
      <c r="E12" s="14">
        <f>C12*D12</f>
        <v>87818.181818181823</v>
      </c>
    </row>
    <row r="15" spans="2:5" x14ac:dyDescent="0.35">
      <c r="B15" s="2" t="s">
        <v>12</v>
      </c>
      <c r="C15" s="4">
        <v>1000000</v>
      </c>
    </row>
    <row r="16" spans="2:5" x14ac:dyDescent="0.35">
      <c r="D16" s="2" t="s">
        <v>19</v>
      </c>
      <c r="E16" s="2" t="s">
        <v>20</v>
      </c>
    </row>
    <row r="17" spans="2:5" x14ac:dyDescent="0.35">
      <c r="B17" s="13" t="s">
        <v>18</v>
      </c>
      <c r="C17" s="14">
        <f>(C15*1.15)/220</f>
        <v>5227.272727272727</v>
      </c>
      <c r="D17" s="13">
        <v>15</v>
      </c>
      <c r="E17" s="14">
        <f>C17*D17</f>
        <v>78409.090909090912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6D03-9DB8-4FCE-A3FB-47F0199F74CE}">
  <dimension ref="B2:G14"/>
  <sheetViews>
    <sheetView workbookViewId="0">
      <selection activeCell="E15" sqref="E15"/>
    </sheetView>
  </sheetViews>
  <sheetFormatPr baseColWidth="10" defaultRowHeight="14.5" x14ac:dyDescent="0.35"/>
  <cols>
    <col min="2" max="2" width="12.6328125" bestFit="1" customWidth="1"/>
    <col min="3" max="3" width="11.1796875" customWidth="1"/>
    <col min="4" max="4" width="13.7265625" bestFit="1" customWidth="1"/>
    <col min="6" max="6" width="14" bestFit="1" customWidth="1"/>
  </cols>
  <sheetData>
    <row r="2" spans="2:7" x14ac:dyDescent="0.35">
      <c r="B2" s="16"/>
      <c r="C2" s="17" t="s">
        <v>0</v>
      </c>
      <c r="D2" s="17" t="s">
        <v>21</v>
      </c>
      <c r="E2" s="16"/>
      <c r="F2" s="16"/>
      <c r="G2" s="16"/>
    </row>
    <row r="3" spans="2:7" x14ac:dyDescent="0.35">
      <c r="B3" s="17" t="s">
        <v>6</v>
      </c>
      <c r="C3" s="17">
        <v>1.75</v>
      </c>
      <c r="D3" s="17">
        <v>220</v>
      </c>
      <c r="E3" s="17" t="s">
        <v>22</v>
      </c>
      <c r="F3" s="17" t="s">
        <v>5</v>
      </c>
      <c r="G3" s="17" t="s">
        <v>23</v>
      </c>
    </row>
    <row r="4" spans="2:7" x14ac:dyDescent="0.35">
      <c r="B4" s="18">
        <v>3000000</v>
      </c>
      <c r="C4" s="19">
        <f>B4*C3</f>
        <v>5250000</v>
      </c>
      <c r="D4" s="19">
        <f>C4/D3</f>
        <v>23863.636363636364</v>
      </c>
      <c r="E4" s="15">
        <v>8</v>
      </c>
      <c r="F4" s="19">
        <f>D4*E4</f>
        <v>190909.09090909091</v>
      </c>
      <c r="G4" s="15"/>
    </row>
    <row r="7" spans="2:7" x14ac:dyDescent="0.35">
      <c r="B7" s="16"/>
      <c r="C7" s="17" t="s">
        <v>0</v>
      </c>
      <c r="D7" s="17" t="s">
        <v>21</v>
      </c>
      <c r="E7" s="16"/>
      <c r="F7" s="16"/>
      <c r="G7" s="16"/>
    </row>
    <row r="8" spans="2:7" x14ac:dyDescent="0.35">
      <c r="B8" s="17" t="s">
        <v>6</v>
      </c>
      <c r="C8" s="17">
        <v>1.75</v>
      </c>
      <c r="D8" s="17">
        <v>220</v>
      </c>
      <c r="E8" s="17" t="s">
        <v>22</v>
      </c>
      <c r="F8" s="17" t="s">
        <v>5</v>
      </c>
      <c r="G8" s="17" t="s">
        <v>23</v>
      </c>
    </row>
    <row r="9" spans="2:7" x14ac:dyDescent="0.35">
      <c r="B9" s="18">
        <v>2200000</v>
      </c>
      <c r="C9" s="19">
        <f>B9*C8</f>
        <v>3850000</v>
      </c>
      <c r="D9" s="19">
        <f>C9/D8</f>
        <v>17500</v>
      </c>
      <c r="E9" s="15">
        <v>10</v>
      </c>
      <c r="F9" s="19">
        <f>D9*E9</f>
        <v>175000</v>
      </c>
      <c r="G9" s="15"/>
    </row>
    <row r="12" spans="2:7" x14ac:dyDescent="0.35">
      <c r="B12" s="16"/>
      <c r="C12" s="17" t="s">
        <v>0</v>
      </c>
      <c r="D12" s="17" t="s">
        <v>21</v>
      </c>
      <c r="E12" s="16"/>
      <c r="F12" s="16"/>
      <c r="G12" s="16"/>
    </row>
    <row r="13" spans="2:7" x14ac:dyDescent="0.35">
      <c r="B13" s="17" t="s">
        <v>6</v>
      </c>
      <c r="C13" s="17">
        <v>1.75</v>
      </c>
      <c r="D13" s="17">
        <v>220</v>
      </c>
      <c r="E13" s="17" t="s">
        <v>22</v>
      </c>
      <c r="F13" s="17" t="s">
        <v>5</v>
      </c>
      <c r="G13" s="17" t="s">
        <v>23</v>
      </c>
    </row>
    <row r="14" spans="2:7" x14ac:dyDescent="0.35">
      <c r="B14" s="18">
        <v>1800000</v>
      </c>
      <c r="C14" s="19">
        <f>B14*C13</f>
        <v>3150000</v>
      </c>
      <c r="D14" s="19">
        <f>C14/D13</f>
        <v>14318.181818181818</v>
      </c>
      <c r="E14" s="15">
        <v>6</v>
      </c>
      <c r="F14" s="19">
        <f>D14*E14</f>
        <v>85909.090909090912</v>
      </c>
      <c r="G14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78F0-59EE-44D6-B06C-5B28646242FA}">
  <dimension ref="B3:G11"/>
  <sheetViews>
    <sheetView workbookViewId="0">
      <selection activeCell="C11" sqref="C11"/>
    </sheetView>
  </sheetViews>
  <sheetFormatPr baseColWidth="10" defaultRowHeight="14.5" x14ac:dyDescent="0.35"/>
  <cols>
    <col min="2" max="2" width="15.08984375" bestFit="1" customWidth="1"/>
    <col min="7" max="7" width="11.6328125" bestFit="1" customWidth="1"/>
  </cols>
  <sheetData>
    <row r="3" spans="2:7" x14ac:dyDescent="0.35">
      <c r="B3" s="3" t="s">
        <v>24</v>
      </c>
      <c r="C3" s="3">
        <v>0.35</v>
      </c>
      <c r="D3" s="3">
        <v>220</v>
      </c>
      <c r="E3" s="3" t="s">
        <v>3</v>
      </c>
      <c r="F3" s="3" t="s">
        <v>25</v>
      </c>
      <c r="G3" s="3" t="s">
        <v>26</v>
      </c>
    </row>
    <row r="4" spans="2:7" x14ac:dyDescent="0.35">
      <c r="B4" s="21">
        <v>2500000</v>
      </c>
      <c r="C4" s="21">
        <f>B4*C3</f>
        <v>875000</v>
      </c>
      <c r="D4" s="21">
        <f>C4/D3</f>
        <v>3977.2727272727275</v>
      </c>
      <c r="E4" s="21">
        <v>3</v>
      </c>
      <c r="F4" s="21">
        <f>D4*E4</f>
        <v>11931.818181818182</v>
      </c>
      <c r="G4" s="21">
        <f>B4+F4</f>
        <v>2511931.8181818184</v>
      </c>
    </row>
    <row r="6" spans="2:7" x14ac:dyDescent="0.35">
      <c r="B6" s="3" t="s">
        <v>24</v>
      </c>
      <c r="C6" s="3">
        <v>0.35</v>
      </c>
      <c r="D6" s="3">
        <v>220</v>
      </c>
      <c r="E6" s="3" t="s">
        <v>3</v>
      </c>
      <c r="F6" s="3" t="s">
        <v>25</v>
      </c>
      <c r="G6" s="3" t="s">
        <v>26</v>
      </c>
    </row>
    <row r="7" spans="2:7" x14ac:dyDescent="0.35">
      <c r="B7" s="21">
        <v>1600000</v>
      </c>
      <c r="C7" s="21">
        <f>B7*C6</f>
        <v>560000</v>
      </c>
      <c r="D7" s="21">
        <f>C7/D6</f>
        <v>2545.4545454545455</v>
      </c>
      <c r="E7" s="21">
        <v>4</v>
      </c>
      <c r="F7" s="21">
        <f>D7*E7</f>
        <v>10181.818181818182</v>
      </c>
      <c r="G7" s="21">
        <f>B7+F7</f>
        <v>1610181.8181818181</v>
      </c>
    </row>
    <row r="10" spans="2:7" x14ac:dyDescent="0.35">
      <c r="B10" s="3" t="s">
        <v>24</v>
      </c>
      <c r="C10" s="3">
        <v>0.35</v>
      </c>
      <c r="D10" s="3">
        <v>220</v>
      </c>
      <c r="E10" s="3" t="s">
        <v>3</v>
      </c>
      <c r="F10" s="3" t="s">
        <v>25</v>
      </c>
      <c r="G10" s="3" t="s">
        <v>26</v>
      </c>
    </row>
    <row r="11" spans="2:7" x14ac:dyDescent="0.35">
      <c r="B11" s="21">
        <v>1300000</v>
      </c>
      <c r="C11" s="21">
        <f>B11*C10</f>
        <v>455000</v>
      </c>
      <c r="D11" s="21">
        <f>C11/D10</f>
        <v>2068.181818181818</v>
      </c>
      <c r="E11" s="21">
        <v>4</v>
      </c>
      <c r="F11" s="21">
        <f>D11*E11</f>
        <v>8272.7272727272721</v>
      </c>
      <c r="G11" s="21">
        <f>B11+F11</f>
        <v>1308272.7272727273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290D-E177-4635-8026-4209ED895058}">
  <dimension ref="B3:F12"/>
  <sheetViews>
    <sheetView workbookViewId="0">
      <selection activeCell="D13" sqref="D13"/>
    </sheetView>
  </sheetViews>
  <sheetFormatPr baseColWidth="10" defaultRowHeight="14.5" x14ac:dyDescent="0.35"/>
  <cols>
    <col min="2" max="2" width="11.6328125" bestFit="1" customWidth="1"/>
    <col min="3" max="3" width="13.6328125" bestFit="1" customWidth="1"/>
    <col min="4" max="4" width="13.90625" bestFit="1" customWidth="1"/>
    <col min="5" max="5" width="18.54296875" bestFit="1" customWidth="1"/>
    <col min="6" max="6" width="11.6328125" bestFit="1" customWidth="1"/>
  </cols>
  <sheetData>
    <row r="3" spans="2:6" x14ac:dyDescent="0.35">
      <c r="B3" s="3" t="s">
        <v>24</v>
      </c>
      <c r="C3" s="3">
        <v>220</v>
      </c>
      <c r="D3" s="3" t="s">
        <v>27</v>
      </c>
      <c r="E3" s="3" t="s">
        <v>28</v>
      </c>
      <c r="F3" s="3" t="s">
        <v>26</v>
      </c>
    </row>
    <row r="4" spans="2:6" x14ac:dyDescent="0.35">
      <c r="B4" s="21">
        <v>2500000</v>
      </c>
      <c r="C4" s="21">
        <f>B4/C3</f>
        <v>11363.636363636364</v>
      </c>
      <c r="D4" s="21">
        <v>4</v>
      </c>
      <c r="E4" s="21">
        <f>C4*D4</f>
        <v>45454.545454545456</v>
      </c>
      <c r="F4" s="21">
        <f>B4-E4</f>
        <v>2454545.4545454546</v>
      </c>
    </row>
    <row r="7" spans="2:6" x14ac:dyDescent="0.35">
      <c r="B7" s="3" t="s">
        <v>24</v>
      </c>
      <c r="C7" s="3">
        <v>220</v>
      </c>
      <c r="D7" s="3" t="s">
        <v>27</v>
      </c>
      <c r="E7" s="3" t="s">
        <v>28</v>
      </c>
      <c r="F7" s="3" t="s">
        <v>26</v>
      </c>
    </row>
    <row r="8" spans="2:6" x14ac:dyDescent="0.35">
      <c r="B8" s="21">
        <v>3800500</v>
      </c>
      <c r="C8" s="21">
        <f>B8/C7</f>
        <v>17275</v>
      </c>
      <c r="D8" s="21">
        <v>8</v>
      </c>
      <c r="E8" s="21">
        <f>C8*D8</f>
        <v>138200</v>
      </c>
      <c r="F8" s="21">
        <f>B8-E8</f>
        <v>3662300</v>
      </c>
    </row>
    <row r="11" spans="2:6" x14ac:dyDescent="0.35">
      <c r="B11" s="3" t="s">
        <v>24</v>
      </c>
      <c r="C11" s="3">
        <v>220</v>
      </c>
      <c r="D11" s="3" t="s">
        <v>27</v>
      </c>
      <c r="E11" s="3" t="s">
        <v>28</v>
      </c>
      <c r="F11" s="3" t="s">
        <v>26</v>
      </c>
    </row>
    <row r="12" spans="2:6" x14ac:dyDescent="0.35">
      <c r="B12" s="21">
        <v>1734699</v>
      </c>
      <c r="C12" s="21">
        <f>B12/C11</f>
        <v>7884.9954545454548</v>
      </c>
      <c r="D12" s="21">
        <v>12</v>
      </c>
      <c r="E12" s="21">
        <f>C12*D12</f>
        <v>94619.945454545465</v>
      </c>
      <c r="F12" s="21">
        <f>B12-E12</f>
        <v>1640079.0545454544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1EF-8D03-450E-AF16-113220B414C4}">
  <dimension ref="B3:F6"/>
  <sheetViews>
    <sheetView tabSelected="1" workbookViewId="0">
      <selection activeCell="H3" sqref="H3"/>
    </sheetView>
  </sheetViews>
  <sheetFormatPr baseColWidth="10" defaultRowHeight="14.5" x14ac:dyDescent="0.35"/>
  <cols>
    <col min="2" max="2" width="15.7265625" bestFit="1" customWidth="1"/>
    <col min="5" max="5" width="15.7265625" bestFit="1" customWidth="1"/>
  </cols>
  <sheetData>
    <row r="3" spans="2:6" x14ac:dyDescent="0.35">
      <c r="B3" s="22" t="s">
        <v>29</v>
      </c>
      <c r="C3" s="23">
        <v>1200000</v>
      </c>
      <c r="E3" s="22" t="s">
        <v>29</v>
      </c>
      <c r="F3" s="23">
        <v>20000000</v>
      </c>
    </row>
    <row r="4" spans="2:6" x14ac:dyDescent="0.35">
      <c r="B4" s="22" t="s">
        <v>30</v>
      </c>
      <c r="C4" s="23">
        <v>180</v>
      </c>
      <c r="E4" s="22" t="s">
        <v>30</v>
      </c>
      <c r="F4" s="23">
        <v>120</v>
      </c>
    </row>
    <row r="6" spans="2:6" x14ac:dyDescent="0.35">
      <c r="B6" s="22" t="s">
        <v>31</v>
      </c>
      <c r="C6" s="23">
        <f>(C3*C4/360)</f>
        <v>600000</v>
      </c>
      <c r="E6" s="22" t="s">
        <v>31</v>
      </c>
      <c r="F6" s="24">
        <f>(F3*F4/360)</f>
        <v>6666666.666666667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Hora extra noctu</vt:lpstr>
      <vt:lpstr>Hora Ordinaria</vt:lpstr>
      <vt:lpstr>hora nocturna </vt:lpstr>
      <vt:lpstr>RECARGO NOCTURNO</vt:lpstr>
      <vt:lpstr>Hora extra nocturna</vt:lpstr>
      <vt:lpstr>Recargo Nocturno 1</vt:lpstr>
      <vt:lpstr>HORA DIURNA</vt:lpstr>
      <vt:lpstr>Prima de 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marientamaraseguracarvajal@gmail.com</dc:creator>
  <cp:lastModifiedBy>marientamaraseguracarvajal@gmail.com</cp:lastModifiedBy>
  <dcterms:created xsi:type="dcterms:W3CDTF">2026-04-06T15:39:06Z</dcterms:created>
  <dcterms:modified xsi:type="dcterms:W3CDTF">2026-04-29T15:55:48Z</dcterms:modified>
</cp:coreProperties>
</file>